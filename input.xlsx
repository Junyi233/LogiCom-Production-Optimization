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pyter notebook\BAMS 506\Project\"/>
    </mc:Choice>
  </mc:AlternateContent>
  <xr:revisionPtr revIDLastSave="0" documentId="13_ncr:1_{DB5D9913-A00E-4EDF-8F2B-761D3E930D6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artA" sheetId="7" r:id="rId1"/>
    <sheet name="Part B" sheetId="1" r:id="rId2"/>
    <sheet name="plo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1" i="1"/>
  <c r="P20" i="1"/>
  <c r="P19" i="1"/>
  <c r="P17" i="1"/>
  <c r="P16" i="1"/>
  <c r="P15" i="1"/>
  <c r="P13" i="1"/>
  <c r="P12" i="1"/>
  <c r="P11" i="1"/>
</calcChain>
</file>

<file path=xl/sharedStrings.xml><?xml version="1.0" encoding="utf-8"?>
<sst xmlns="http://schemas.openxmlformats.org/spreadsheetml/2006/main" count="237" uniqueCount="121">
  <si>
    <t>Objective coefficients</t>
  </si>
  <si>
    <t>constraint type</t>
  </si>
  <si>
    <t>RHS values</t>
  </si>
  <si>
    <t>LHS coefficients</t>
  </si>
  <si>
    <t>Variable Lower Bound</t>
  </si>
  <si>
    <t>Variable Upper Bound</t>
  </si>
  <si>
    <t>Objective</t>
  </si>
  <si>
    <t>Constraints</t>
  </si>
  <si>
    <t>Variable Type</t>
  </si>
  <si>
    <t>Variable Names</t>
  </si>
  <si>
    <t>max</t>
  </si>
  <si>
    <t>demand</t>
    <phoneticPr fontId="2" type="noConversion"/>
  </si>
  <si>
    <t>production</t>
    <phoneticPr fontId="2" type="noConversion"/>
  </si>
  <si>
    <t>u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</si>
  <si>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</si>
  <si>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</si>
  <si>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</si>
  <si>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v1</t>
    <phoneticPr fontId="2" type="noConversion"/>
  </si>
  <si>
    <t>v2</t>
    <phoneticPr fontId="2" type="noConversion"/>
  </si>
  <si>
    <t>v3</t>
    <phoneticPr fontId="2" type="noConversion"/>
  </si>
  <si>
    <t>=</t>
    <phoneticPr fontId="2" type="noConversion"/>
  </si>
  <si>
    <t>&lt;=</t>
    <phoneticPr fontId="2" type="noConversion"/>
  </si>
  <si>
    <t>n1</t>
    <phoneticPr fontId="2" type="noConversion"/>
  </si>
  <si>
    <t>n2</t>
    <phoneticPr fontId="2" type="noConversion"/>
  </si>
  <si>
    <t>n3</t>
    <phoneticPr fontId="2" type="noConversion"/>
  </si>
  <si>
    <t>n4</t>
    <phoneticPr fontId="2" type="noConversion"/>
  </si>
  <si>
    <t>n5</t>
  </si>
  <si>
    <t>n6</t>
  </si>
  <si>
    <t>b11</t>
    <phoneticPr fontId="3" type="noConversion"/>
  </si>
  <si>
    <t>b12</t>
    <phoneticPr fontId="3" type="noConversion"/>
  </si>
  <si>
    <t>b13</t>
  </si>
  <si>
    <t>b14</t>
  </si>
  <si>
    <t>b21</t>
    <phoneticPr fontId="2" type="noConversion"/>
  </si>
  <si>
    <t>b22</t>
    <phoneticPr fontId="2" type="noConversion"/>
  </si>
  <si>
    <t>b23</t>
  </si>
  <si>
    <t>b24</t>
  </si>
  <si>
    <t>b31</t>
    <phoneticPr fontId="2" type="noConversion"/>
  </si>
  <si>
    <t>b32</t>
    <phoneticPr fontId="2" type="noConversion"/>
  </si>
  <si>
    <t>b33</t>
  </si>
  <si>
    <t>b34</t>
  </si>
  <si>
    <t>b41</t>
    <phoneticPr fontId="2" type="noConversion"/>
  </si>
  <si>
    <t>b42</t>
    <phoneticPr fontId="2" type="noConversion"/>
  </si>
  <si>
    <t>b43</t>
  </si>
  <si>
    <t>b44</t>
  </si>
  <si>
    <t>int</t>
    <phoneticPr fontId="3" type="noConversion"/>
  </si>
  <si>
    <t>min</t>
    <phoneticPr fontId="3" type="noConversion"/>
  </si>
  <si>
    <t>n7</t>
  </si>
  <si>
    <t>n8</t>
  </si>
  <si>
    <t>b15</t>
  </si>
  <si>
    <t>b16</t>
  </si>
  <si>
    <t>b17</t>
  </si>
  <si>
    <t>b18</t>
  </si>
  <si>
    <t>b25</t>
  </si>
  <si>
    <t>b26</t>
  </si>
  <si>
    <t>b27</t>
  </si>
  <si>
    <t>b28</t>
  </si>
  <si>
    <t>b35</t>
  </si>
  <si>
    <t>b36</t>
  </si>
  <si>
    <t>b37</t>
  </si>
  <si>
    <t>b38</t>
  </si>
  <si>
    <t>b45</t>
  </si>
  <si>
    <t>b46</t>
  </si>
  <si>
    <t>b47</t>
  </si>
  <si>
    <t>b48</t>
  </si>
  <si>
    <t>b51</t>
    <phoneticPr fontId="2" type="noConversion"/>
  </si>
  <si>
    <t>b52</t>
    <phoneticPr fontId="2" type="noConversion"/>
  </si>
  <si>
    <t>b53</t>
  </si>
  <si>
    <t>b54</t>
  </si>
  <si>
    <t>b55</t>
  </si>
  <si>
    <t>b56</t>
  </si>
  <si>
    <t>b57</t>
  </si>
  <si>
    <t>b58</t>
  </si>
  <si>
    <t>b61</t>
    <phoneticPr fontId="2" type="noConversion"/>
  </si>
  <si>
    <t>b62</t>
    <phoneticPr fontId="2" type="noConversion"/>
  </si>
  <si>
    <t>b63</t>
    <phoneticPr fontId="3" type="noConversion"/>
  </si>
  <si>
    <t>b64</t>
  </si>
  <si>
    <t>b65</t>
  </si>
  <si>
    <t>b66</t>
  </si>
  <si>
    <t>b67</t>
  </si>
  <si>
    <t>b68</t>
  </si>
  <si>
    <t>b71</t>
    <phoneticPr fontId="2" type="noConversion"/>
  </si>
  <si>
    <t>b72</t>
    <phoneticPr fontId="2" type="noConversion"/>
  </si>
  <si>
    <t>b73</t>
  </si>
  <si>
    <t>b74</t>
  </si>
  <si>
    <t>b75</t>
  </si>
  <si>
    <t>b76</t>
  </si>
  <si>
    <t>b77</t>
  </si>
  <si>
    <t>b78</t>
  </si>
  <si>
    <t>b81</t>
    <phoneticPr fontId="2" type="noConversion"/>
  </si>
  <si>
    <t>b82</t>
    <phoneticPr fontId="2" type="noConversion"/>
  </si>
  <si>
    <t>b83</t>
  </si>
  <si>
    <t>b84</t>
  </si>
  <si>
    <t>b85</t>
  </si>
  <si>
    <t>b86</t>
  </si>
  <si>
    <t>b87</t>
  </si>
  <si>
    <t>b88</t>
    <phoneticPr fontId="3" type="noConversion"/>
  </si>
  <si>
    <t>u1</t>
    <phoneticPr fontId="3" type="noConversion"/>
  </si>
  <si>
    <t>o1</t>
    <phoneticPr fontId="3" type="noConversion"/>
  </si>
  <si>
    <t>u2</t>
  </si>
  <si>
    <t>o2</t>
  </si>
  <si>
    <t>u3</t>
  </si>
  <si>
    <t>o3</t>
  </si>
  <si>
    <t>u4</t>
  </si>
  <si>
    <t>o4</t>
  </si>
  <si>
    <t>u5</t>
  </si>
  <si>
    <t>o5</t>
  </si>
  <si>
    <t>u6</t>
  </si>
  <si>
    <t>o6</t>
  </si>
  <si>
    <t>u7</t>
  </si>
  <si>
    <t>o7</t>
  </si>
  <si>
    <t>u8</t>
  </si>
  <si>
    <t>o8</t>
  </si>
  <si>
    <t>bin</t>
    <phoneticPr fontId="3" type="noConversion"/>
  </si>
  <si>
    <t>=</t>
    <phoneticPr fontId="3" type="noConversion"/>
  </si>
  <si>
    <t>&gt;=</t>
    <phoneticPr fontId="3" type="noConversion"/>
  </si>
  <si>
    <t>&lt;=</t>
    <phoneticPr fontId="3" type="noConversion"/>
  </si>
  <si>
    <t>r4</t>
    <phoneticPr fontId="2" type="noConversion"/>
  </si>
  <si>
    <t>v4</t>
    <phoneticPr fontId="2" type="noConversion"/>
  </si>
  <si>
    <t>Demand</t>
    <phoneticPr fontId="3" type="noConversion"/>
  </si>
  <si>
    <t>Profit</t>
    <phoneticPr fontId="3" type="noConversion"/>
  </si>
  <si>
    <t>Production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</si>
</sst>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1" fontId="0" fillId="0" borderId="0" xfId="0" applyNumberFormat="1"/>
    <xf numFmtId="0" fontId="4" fillId="0" borderId="0" xfId="0" applyFont="1" applyAlignment="1">
      <alignment horizontal="left" vertical="center"/>
    </xf>
    <xf numFmtId="11" fontId="4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Profit VS.</a:t>
            </a:r>
            <a:r>
              <a:rPr lang="en-US" altLang="zh-CN" baseline="0"/>
              <a:t> Demand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07-4ED8-A5EA-D2468DFD97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plot!$B$2:$B$13</c:f>
              <c:numCache>
                <c:formatCode>General</c:formatCode>
                <c:ptCount val="12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18562.5</c:v>
                </c:pt>
                <c:pt idx="11">
                  <c:v>20000</c:v>
                </c:pt>
              </c:numCache>
            </c:numRef>
          </c:xVal>
          <c:yVal>
            <c:numRef>
              <c:f>plot!$C$2:$C$13</c:f>
              <c:numCache>
                <c:formatCode>0.00E+00</c:formatCode>
                <c:ptCount val="12"/>
                <c:pt idx="0">
                  <c:v>0</c:v>
                </c:pt>
                <c:pt idx="1">
                  <c:v>1417522.6669999999</c:v>
                </c:pt>
                <c:pt idx="2">
                  <c:v>2835045.3330000001</c:v>
                </c:pt>
                <c:pt idx="3">
                  <c:v>4252568</c:v>
                </c:pt>
                <c:pt idx="4">
                  <c:v>5670090.6670000004</c:v>
                </c:pt>
                <c:pt idx="5">
                  <c:v>7087613.3329999996</c:v>
                </c:pt>
                <c:pt idx="6">
                  <c:v>8505136</c:v>
                </c:pt>
                <c:pt idx="7">
                  <c:v>9922623.1109999996</c:v>
                </c:pt>
                <c:pt idx="8">
                  <c:v>11339712</c:v>
                </c:pt>
                <c:pt idx="9">
                  <c:v>12756696</c:v>
                </c:pt>
                <c:pt idx="10">
                  <c:v>13155222.75</c:v>
                </c:pt>
                <c:pt idx="11">
                  <c:v>13155222.75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7-4ED8-A5EA-D2468DFD9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52303"/>
        <c:axId val="174853551"/>
      </c:scatterChart>
      <c:valAx>
        <c:axId val="17485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53551"/>
        <c:crosses val="autoZero"/>
        <c:crossBetween val="midCat"/>
      </c:valAx>
      <c:valAx>
        <c:axId val="1748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5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plot!$D$1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0"/>
              <c:layout>
                <c:manualLayout>
                  <c:x val="-3.888888888888889E-2"/>
                  <c:y val="-8.7962962962962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C8-4642-ABD8-5941FB0DC1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plot!$B$2:$B$13</c:f>
              <c:numCache>
                <c:formatCode>General</c:formatCode>
                <c:ptCount val="12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18562.5</c:v>
                </c:pt>
                <c:pt idx="11">
                  <c:v>20000</c:v>
                </c:pt>
              </c:numCache>
            </c:numRef>
          </c:xVal>
          <c:yVal>
            <c:numRef>
              <c:f>plot!$D$2:$D$13</c:f>
              <c:numCache>
                <c:formatCode>General</c:formatCode>
                <c:ptCount val="12"/>
                <c:pt idx="0">
                  <c:v>0</c:v>
                </c:pt>
                <c:pt idx="1">
                  <c:v>1600</c:v>
                </c:pt>
                <c:pt idx="2">
                  <c:v>3200</c:v>
                </c:pt>
                <c:pt idx="3">
                  <c:v>4800</c:v>
                </c:pt>
                <c:pt idx="4">
                  <c:v>6400</c:v>
                </c:pt>
                <c:pt idx="5">
                  <c:v>8000</c:v>
                </c:pt>
                <c:pt idx="6">
                  <c:v>9600</c:v>
                </c:pt>
                <c:pt idx="7">
                  <c:v>11200</c:v>
                </c:pt>
                <c:pt idx="8">
                  <c:v>12800</c:v>
                </c:pt>
                <c:pt idx="9">
                  <c:v>14400</c:v>
                </c:pt>
                <c:pt idx="10">
                  <c:v>14850</c:v>
                </c:pt>
                <c:pt idx="11">
                  <c:v>14850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8-4642-ABD8-5941FB0DC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199119"/>
        <c:axId val="272191631"/>
      </c:scatterChart>
      <c:valAx>
        <c:axId val="27219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191631"/>
        <c:crosses val="autoZero"/>
        <c:crossBetween val="midCat"/>
      </c:valAx>
      <c:valAx>
        <c:axId val="2721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19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225425</xdr:colOff>
      <xdr:row>3</xdr:row>
      <xdr:rowOff>184150</xdr:rowOff>
    </xdr:from>
    <xdr:to>
      <xdr:col>10</xdr:col>
      <xdr:colOff>225425</xdr:colOff>
      <xdr:row>17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F8EBADE-2881-EBC5-0BCA-16CFE75B9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165100</xdr:rowOff>
    </xdr:from>
    <xdr:to>
      <xdr:col>5</xdr:col>
      <xdr:colOff>717550</xdr:colOff>
      <xdr:row>28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7CF38BE-FBA0-0037-A9C1-9173292DC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BC87-012B-4C58-BB92-83FA053B80BE}">
  <dimension ref="A1:CM34"/>
  <sheetViews>
    <sheetView zoomScale="55" zoomScaleNormal="55" workbookViewId="0">
      <selection activeCell="CM34" sqref="CM34"/>
    </sheetView>
  </sheetViews>
  <sheetFormatPr defaultColWidth="11" defaultRowHeight="15.5" x14ac:dyDescent="0.35"/>
  <cols>
    <col min="1" max="1" width="4.69140625" style="6" customWidth="1"/>
    <col min="2" max="2" width="4.69140625" style="15" customWidth="1"/>
    <col min="3" max="9" width="4.69140625" customWidth="1"/>
    <col min="10" max="10" width="4.69140625" style="15" customWidth="1"/>
    <col min="11" max="17" width="4.69140625" customWidth="1"/>
    <col min="18" max="18" width="4.69140625" style="15" customWidth="1"/>
    <col min="19" max="25" width="4.69140625" customWidth="1"/>
    <col min="26" max="26" width="4.69140625" style="15" customWidth="1"/>
    <col min="27" max="33" width="4.69140625" customWidth="1"/>
    <col min="34" max="34" width="4.69140625" style="15" customWidth="1"/>
    <col min="35" max="41" width="4.69140625" customWidth="1"/>
    <col min="42" max="42" width="4.69140625" style="15" customWidth="1"/>
    <col min="43" max="49" width="4.69140625" customWidth="1"/>
    <col min="50" max="50" width="4.69140625" style="15" customWidth="1"/>
    <col min="51" max="57" width="4.69140625" customWidth="1"/>
    <col min="58" max="58" width="4.69140625" style="15" customWidth="1"/>
    <col min="59" max="65" width="4.69140625" customWidth="1"/>
    <col min="66" max="66" width="4.69140625" style="15" customWidth="1"/>
    <col min="67" max="73" width="4.69140625" customWidth="1"/>
    <col min="74" max="74" width="4.69140625" style="15" customWidth="1"/>
    <col min="75" max="89" width="4.69140625" customWidth="1"/>
  </cols>
  <sheetData>
    <row r="1" spans="1:91" x14ac:dyDescent="0.35">
      <c r="A1" s="5" t="s">
        <v>6</v>
      </c>
      <c r="B1" s="14" t="s">
        <v>45</v>
      </c>
      <c r="C1" s="2"/>
      <c r="D1" s="2"/>
      <c r="E1" s="2"/>
    </row>
    <row r="2" spans="1:91" x14ac:dyDescent="0.35">
      <c r="A2" s="5" t="s">
        <v>9</v>
      </c>
      <c r="B2" s="14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46</v>
      </c>
      <c r="I2" s="2" t="s">
        <v>47</v>
      </c>
      <c r="J2" s="14" t="s">
        <v>28</v>
      </c>
      <c r="K2" s="2" t="s">
        <v>29</v>
      </c>
      <c r="L2" s="2" t="s">
        <v>30</v>
      </c>
      <c r="M2" s="2" t="s">
        <v>31</v>
      </c>
      <c r="N2" s="2" t="s">
        <v>48</v>
      </c>
      <c r="O2" s="2" t="s">
        <v>49</v>
      </c>
      <c r="P2" s="2" t="s">
        <v>50</v>
      </c>
      <c r="Q2" s="2" t="s">
        <v>51</v>
      </c>
      <c r="R2" s="14" t="s">
        <v>32</v>
      </c>
      <c r="S2" s="2" t="s">
        <v>33</v>
      </c>
      <c r="T2" s="2" t="s">
        <v>34</v>
      </c>
      <c r="U2" s="2" t="s">
        <v>35</v>
      </c>
      <c r="V2" s="2" t="s">
        <v>52</v>
      </c>
      <c r="W2" s="2" t="s">
        <v>53</v>
      </c>
      <c r="X2" s="2" t="s">
        <v>54</v>
      </c>
      <c r="Y2" s="2" t="s">
        <v>55</v>
      </c>
      <c r="Z2" s="14" t="s">
        <v>36</v>
      </c>
      <c r="AA2" s="2" t="s">
        <v>37</v>
      </c>
      <c r="AB2" s="2" t="s">
        <v>38</v>
      </c>
      <c r="AC2" s="2" t="s">
        <v>39</v>
      </c>
      <c r="AD2" s="2" t="s">
        <v>56</v>
      </c>
      <c r="AE2" s="2" t="s">
        <v>57</v>
      </c>
      <c r="AF2" s="2" t="s">
        <v>58</v>
      </c>
      <c r="AG2" s="2" t="s">
        <v>59</v>
      </c>
      <c r="AH2" s="14" t="s">
        <v>40</v>
      </c>
      <c r="AI2" s="2" t="s">
        <v>41</v>
      </c>
      <c r="AJ2" s="2" t="s">
        <v>42</v>
      </c>
      <c r="AK2" s="2" t="s">
        <v>43</v>
      </c>
      <c r="AL2" s="2" t="s">
        <v>60</v>
      </c>
      <c r="AM2" s="2" t="s">
        <v>61</v>
      </c>
      <c r="AN2" s="2" t="s">
        <v>62</v>
      </c>
      <c r="AO2" s="2" t="s">
        <v>63</v>
      </c>
      <c r="AP2" s="14" t="s">
        <v>64</v>
      </c>
      <c r="AQ2" s="2" t="s">
        <v>65</v>
      </c>
      <c r="AR2" s="2" t="s">
        <v>66</v>
      </c>
      <c r="AS2" s="2" t="s">
        <v>67</v>
      </c>
      <c r="AT2" s="2" t="s">
        <v>68</v>
      </c>
      <c r="AU2" s="2" t="s">
        <v>69</v>
      </c>
      <c r="AV2" s="2" t="s">
        <v>70</v>
      </c>
      <c r="AW2" s="2" t="s">
        <v>71</v>
      </c>
      <c r="AX2" s="14" t="s">
        <v>72</v>
      </c>
      <c r="AY2" s="2" t="s">
        <v>73</v>
      </c>
      <c r="AZ2" s="2" t="s">
        <v>74</v>
      </c>
      <c r="BA2" s="2" t="s">
        <v>75</v>
      </c>
      <c r="BB2" s="2" t="s">
        <v>76</v>
      </c>
      <c r="BC2" s="2" t="s">
        <v>77</v>
      </c>
      <c r="BD2" s="2" t="s">
        <v>78</v>
      </c>
      <c r="BE2" s="2" t="s">
        <v>79</v>
      </c>
      <c r="BF2" s="14" t="s">
        <v>80</v>
      </c>
      <c r="BG2" s="2" t="s">
        <v>81</v>
      </c>
      <c r="BH2" s="2" t="s">
        <v>82</v>
      </c>
      <c r="BI2" s="2" t="s">
        <v>83</v>
      </c>
      <c r="BJ2" s="2" t="s">
        <v>84</v>
      </c>
      <c r="BK2" s="2" t="s">
        <v>85</v>
      </c>
      <c r="BL2" s="2" t="s">
        <v>86</v>
      </c>
      <c r="BM2" s="2" t="s">
        <v>87</v>
      </c>
      <c r="BN2" s="14" t="s">
        <v>88</v>
      </c>
      <c r="BO2" s="2" t="s">
        <v>89</v>
      </c>
      <c r="BP2" s="2" t="s">
        <v>90</v>
      </c>
      <c r="BQ2" s="2" t="s">
        <v>91</v>
      </c>
      <c r="BR2" s="2" t="s">
        <v>92</v>
      </c>
      <c r="BS2" s="2" t="s">
        <v>93</v>
      </c>
      <c r="BT2" s="2" t="s">
        <v>94</v>
      </c>
      <c r="BU2" s="2" t="s">
        <v>95</v>
      </c>
      <c r="BV2" s="14" t="s">
        <v>96</v>
      </c>
      <c r="BW2" s="2" t="s">
        <v>97</v>
      </c>
      <c r="BX2" s="2" t="s">
        <v>98</v>
      </c>
      <c r="BY2" s="2" t="s">
        <v>99</v>
      </c>
      <c r="BZ2" s="2" t="s">
        <v>100</v>
      </c>
      <c r="CA2" s="2" t="s">
        <v>101</v>
      </c>
      <c r="CB2" s="2" t="s">
        <v>102</v>
      </c>
      <c r="CC2" s="2" t="s">
        <v>103</v>
      </c>
      <c r="CD2" s="2" t="s">
        <v>104</v>
      </c>
      <c r="CE2" s="2" t="s">
        <v>105</v>
      </c>
      <c r="CF2" s="2" t="s">
        <v>106</v>
      </c>
      <c r="CG2" s="2" t="s">
        <v>107</v>
      </c>
      <c r="CH2" s="2" t="s">
        <v>108</v>
      </c>
      <c r="CI2" s="2" t="s">
        <v>109</v>
      </c>
      <c r="CJ2" s="2" t="s">
        <v>110</v>
      </c>
      <c r="CK2" s="2" t="s">
        <v>111</v>
      </c>
    </row>
    <row r="3" spans="1:91" x14ac:dyDescent="0.35">
      <c r="A3" s="5" t="s">
        <v>0</v>
      </c>
      <c r="B3" s="14">
        <v>0</v>
      </c>
      <c r="C3" s="2">
        <v>0</v>
      </c>
      <c r="D3" s="3">
        <v>0</v>
      </c>
      <c r="E3" s="3">
        <v>0</v>
      </c>
      <c r="F3" s="2">
        <v>0</v>
      </c>
      <c r="G3" s="2">
        <v>0</v>
      </c>
      <c r="H3" s="3">
        <v>0</v>
      </c>
      <c r="I3" s="3">
        <v>0</v>
      </c>
      <c r="J3" s="14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14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14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14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14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14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14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14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15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</row>
    <row r="4" spans="1:91" x14ac:dyDescent="0.35">
      <c r="A4" s="5" t="s">
        <v>8</v>
      </c>
      <c r="B4" s="14" t="s">
        <v>44</v>
      </c>
      <c r="C4" s="2" t="s">
        <v>44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15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s="15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112</v>
      </c>
      <c r="Z4" s="15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s="15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s="15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s="15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112</v>
      </c>
      <c r="BD4" t="s">
        <v>112</v>
      </c>
      <c r="BE4" t="s">
        <v>112</v>
      </c>
      <c r="BF4" s="15" t="s">
        <v>112</v>
      </c>
      <c r="BG4" t="s">
        <v>112</v>
      </c>
      <c r="BH4" t="s">
        <v>112</v>
      </c>
      <c r="BI4" t="s">
        <v>112</v>
      </c>
      <c r="BJ4" t="s">
        <v>112</v>
      </c>
      <c r="BK4" t="s">
        <v>112</v>
      </c>
      <c r="BL4" t="s">
        <v>112</v>
      </c>
      <c r="BM4" t="s">
        <v>112</v>
      </c>
      <c r="BN4" s="15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</row>
    <row r="5" spans="1:91" x14ac:dyDescent="0.35">
      <c r="A5" s="8" t="s">
        <v>4</v>
      </c>
      <c r="B5" s="14"/>
      <c r="C5" s="3"/>
      <c r="D5" s="3"/>
      <c r="E5" s="3"/>
      <c r="F5" s="3"/>
      <c r="G5" s="3"/>
      <c r="H5" s="3"/>
      <c r="I5" s="3"/>
    </row>
    <row r="6" spans="1:91" x14ac:dyDescent="0.35">
      <c r="A6" s="8" t="s">
        <v>5</v>
      </c>
      <c r="B6" s="14"/>
      <c r="C6" s="2"/>
      <c r="D6" s="2"/>
      <c r="E6" s="3"/>
      <c r="AM6" s="3"/>
      <c r="AN6" s="3"/>
    </row>
    <row r="7" spans="1:91" x14ac:dyDescent="0.35">
      <c r="E7" s="3"/>
      <c r="AM7" s="1"/>
    </row>
    <row r="8" spans="1:91" s="15" customFormat="1" x14ac:dyDescent="0.35">
      <c r="A8" s="21" t="s">
        <v>7</v>
      </c>
      <c r="B8" s="13" t="s">
        <v>3</v>
      </c>
      <c r="C8" s="14"/>
      <c r="AR8" s="13"/>
      <c r="CL8" s="13" t="s">
        <v>1</v>
      </c>
      <c r="CM8" s="13" t="s">
        <v>2</v>
      </c>
    </row>
    <row r="9" spans="1:91" x14ac:dyDescent="0.35">
      <c r="A9" s="21"/>
      <c r="B9" s="16">
        <v>-50.5</v>
      </c>
      <c r="C9" s="9"/>
      <c r="D9" s="9"/>
      <c r="E9" s="9"/>
      <c r="J9" s="15">
        <v>135</v>
      </c>
      <c r="K9">
        <v>80</v>
      </c>
      <c r="L9">
        <v>25</v>
      </c>
      <c r="M9">
        <v>45</v>
      </c>
      <c r="N9">
        <v>38</v>
      </c>
      <c r="O9">
        <v>42</v>
      </c>
      <c r="P9">
        <v>90</v>
      </c>
      <c r="Q9">
        <v>151</v>
      </c>
      <c r="AM9" s="10"/>
      <c r="AN9" s="10"/>
      <c r="AO9" s="10"/>
      <c r="AP9" s="16"/>
      <c r="AQ9" s="10"/>
      <c r="AR9" s="10"/>
      <c r="AS9" s="10"/>
      <c r="AT9" s="10"/>
      <c r="AU9" s="10"/>
      <c r="BV9" s="15">
        <v>1</v>
      </c>
      <c r="BW9">
        <v>-1</v>
      </c>
      <c r="CL9" t="s">
        <v>113</v>
      </c>
      <c r="CM9">
        <v>0</v>
      </c>
    </row>
    <row r="10" spans="1:91" x14ac:dyDescent="0.35">
      <c r="A10" s="21"/>
      <c r="B10" s="16"/>
      <c r="C10" s="9">
        <v>-50.5</v>
      </c>
      <c r="D10" s="9"/>
      <c r="E10" s="9"/>
      <c r="R10" s="15">
        <v>135</v>
      </c>
      <c r="S10">
        <v>80</v>
      </c>
      <c r="T10">
        <v>25</v>
      </c>
      <c r="U10">
        <v>45</v>
      </c>
      <c r="V10">
        <v>38</v>
      </c>
      <c r="W10">
        <v>42</v>
      </c>
      <c r="X10">
        <v>90</v>
      </c>
      <c r="Y10">
        <v>151</v>
      </c>
      <c r="AM10" s="10"/>
      <c r="AN10" s="10"/>
      <c r="AO10" s="10"/>
      <c r="AP10" s="16"/>
      <c r="AQ10" s="10"/>
      <c r="AR10" s="10"/>
      <c r="AS10" s="10"/>
      <c r="AT10" s="10"/>
      <c r="AU10" s="9"/>
      <c r="BX10">
        <v>1</v>
      </c>
      <c r="BY10">
        <v>-1</v>
      </c>
      <c r="CL10" t="s">
        <v>113</v>
      </c>
      <c r="CM10">
        <v>0</v>
      </c>
    </row>
    <row r="11" spans="1:91" x14ac:dyDescent="0.35">
      <c r="A11" s="21"/>
      <c r="B11" s="17"/>
      <c r="C11" s="9"/>
      <c r="D11" s="9">
        <v>-50.5</v>
      </c>
      <c r="E11" s="9"/>
      <c r="Z11" s="15">
        <v>135</v>
      </c>
      <c r="AA11">
        <v>80</v>
      </c>
      <c r="AB11">
        <v>25</v>
      </c>
      <c r="AC11">
        <v>45</v>
      </c>
      <c r="AD11">
        <v>38</v>
      </c>
      <c r="AE11">
        <v>42</v>
      </c>
      <c r="AF11">
        <v>90</v>
      </c>
      <c r="AG11">
        <v>151</v>
      </c>
      <c r="AM11" s="9"/>
      <c r="AN11" s="9"/>
      <c r="AO11" s="9"/>
      <c r="AP11" s="16"/>
      <c r="AQ11" s="9"/>
      <c r="AR11" s="10"/>
      <c r="AS11" s="9"/>
      <c r="AT11" s="9"/>
      <c r="AU11" s="10"/>
      <c r="AV11" s="10"/>
      <c r="AW11" s="10"/>
      <c r="AX11" s="16"/>
      <c r="BZ11">
        <v>1</v>
      </c>
      <c r="CA11">
        <v>-1</v>
      </c>
      <c r="CL11" t="s">
        <v>113</v>
      </c>
      <c r="CM11">
        <v>0</v>
      </c>
    </row>
    <row r="12" spans="1:91" x14ac:dyDescent="0.35">
      <c r="A12" s="21"/>
      <c r="B12" s="17"/>
      <c r="C12" s="9"/>
      <c r="D12" s="9"/>
      <c r="E12" s="9">
        <v>-50.5</v>
      </c>
      <c r="AH12" s="15">
        <v>135</v>
      </c>
      <c r="AI12">
        <v>80</v>
      </c>
      <c r="AJ12">
        <v>25</v>
      </c>
      <c r="AK12">
        <v>45</v>
      </c>
      <c r="AL12">
        <v>38</v>
      </c>
      <c r="AM12">
        <v>42</v>
      </c>
      <c r="AN12">
        <v>90</v>
      </c>
      <c r="AO12">
        <v>151</v>
      </c>
      <c r="AP12" s="16"/>
      <c r="AQ12" s="9"/>
      <c r="AR12" s="9"/>
      <c r="AS12" s="9"/>
      <c r="AT12" s="9"/>
      <c r="AU12" s="10"/>
      <c r="AY12" s="10"/>
      <c r="AZ12" s="10"/>
      <c r="BA12" s="10"/>
      <c r="BB12" s="10"/>
      <c r="CB12">
        <v>1</v>
      </c>
      <c r="CC12">
        <v>-1</v>
      </c>
      <c r="CL12" t="s">
        <v>113</v>
      </c>
      <c r="CM12">
        <v>0</v>
      </c>
    </row>
    <row r="13" spans="1:91" x14ac:dyDescent="0.35">
      <c r="A13" s="21"/>
      <c r="B13" s="17"/>
      <c r="C13" s="9"/>
      <c r="D13" s="9"/>
      <c r="E13" s="9"/>
      <c r="F13" s="9">
        <v>-50.5</v>
      </c>
      <c r="AM13" s="9"/>
      <c r="AN13" s="9"/>
      <c r="AO13" s="9"/>
      <c r="AP13" s="15">
        <v>135</v>
      </c>
      <c r="AQ13">
        <v>80</v>
      </c>
      <c r="AR13">
        <v>25</v>
      </c>
      <c r="AS13">
        <v>45</v>
      </c>
      <c r="AT13">
        <v>38</v>
      </c>
      <c r="AU13">
        <v>42</v>
      </c>
      <c r="AV13">
        <v>90</v>
      </c>
      <c r="AW13">
        <v>151</v>
      </c>
      <c r="CD13">
        <v>1</v>
      </c>
      <c r="CE13">
        <v>-1</v>
      </c>
      <c r="CL13" t="s">
        <v>113</v>
      </c>
      <c r="CM13">
        <v>0</v>
      </c>
    </row>
    <row r="14" spans="1:91" x14ac:dyDescent="0.35">
      <c r="A14" s="21"/>
      <c r="B14" s="17"/>
      <c r="C14" s="9"/>
      <c r="D14" s="9"/>
      <c r="E14" s="9"/>
      <c r="G14" s="9">
        <v>-50.5</v>
      </c>
      <c r="AM14" s="9"/>
      <c r="AN14" s="9"/>
      <c r="AO14" s="9"/>
      <c r="AP14" s="16"/>
      <c r="AQ14" s="10"/>
      <c r="AR14" s="10"/>
      <c r="AS14" s="9"/>
      <c r="AT14" s="9"/>
      <c r="AU14" s="9"/>
      <c r="AX14" s="15">
        <v>135</v>
      </c>
      <c r="AY14">
        <v>80</v>
      </c>
      <c r="AZ14">
        <v>25</v>
      </c>
      <c r="BA14">
        <v>45</v>
      </c>
      <c r="BB14">
        <v>38</v>
      </c>
      <c r="BC14">
        <v>42</v>
      </c>
      <c r="BD14">
        <v>90</v>
      </c>
      <c r="BE14">
        <v>151</v>
      </c>
      <c r="CF14">
        <v>1</v>
      </c>
      <c r="CG14">
        <v>-1</v>
      </c>
      <c r="CL14" t="s">
        <v>113</v>
      </c>
      <c r="CM14">
        <v>0</v>
      </c>
    </row>
    <row r="15" spans="1:91" x14ac:dyDescent="0.35">
      <c r="A15" s="21"/>
      <c r="B15" s="17"/>
      <c r="C15" s="9"/>
      <c r="D15" s="9"/>
      <c r="E15" s="9"/>
      <c r="H15" s="9">
        <v>-50.5</v>
      </c>
      <c r="AM15" s="9"/>
      <c r="AN15" s="9"/>
      <c r="AO15" s="9"/>
      <c r="AP15" s="16"/>
      <c r="AQ15" s="9"/>
      <c r="AR15" s="10"/>
      <c r="AS15" s="9"/>
      <c r="AT15" s="9"/>
      <c r="AU15" s="10"/>
      <c r="BF15" s="15">
        <v>135</v>
      </c>
      <c r="BG15">
        <v>80</v>
      </c>
      <c r="BH15">
        <v>25</v>
      </c>
      <c r="BI15">
        <v>45</v>
      </c>
      <c r="BJ15">
        <v>38</v>
      </c>
      <c r="BK15">
        <v>42</v>
      </c>
      <c r="BL15">
        <v>90</v>
      </c>
      <c r="BM15">
        <v>151</v>
      </c>
      <c r="CH15">
        <v>1</v>
      </c>
      <c r="CI15">
        <v>-1</v>
      </c>
      <c r="CL15" t="s">
        <v>113</v>
      </c>
      <c r="CM15">
        <v>0</v>
      </c>
    </row>
    <row r="16" spans="1:91" x14ac:dyDescent="0.35">
      <c r="A16" s="21"/>
      <c r="B16" s="17"/>
      <c r="C16" s="9"/>
      <c r="D16" s="9"/>
      <c r="E16" s="9"/>
      <c r="I16" s="9">
        <v>-50.5</v>
      </c>
      <c r="AM16" s="9"/>
      <c r="AN16" s="9"/>
      <c r="AO16" s="9"/>
      <c r="AP16" s="16"/>
      <c r="AQ16" s="9"/>
      <c r="AR16" s="9"/>
      <c r="AS16" s="9"/>
      <c r="AT16" s="9"/>
      <c r="AU16" s="9"/>
      <c r="BN16" s="15">
        <v>135</v>
      </c>
      <c r="BO16">
        <v>80</v>
      </c>
      <c r="BP16">
        <v>25</v>
      </c>
      <c r="BQ16">
        <v>45</v>
      </c>
      <c r="BR16">
        <v>38</v>
      </c>
      <c r="BS16">
        <v>42</v>
      </c>
      <c r="BT16">
        <v>90</v>
      </c>
      <c r="BU16">
        <v>151</v>
      </c>
      <c r="CJ16">
        <v>1</v>
      </c>
      <c r="CK16">
        <v>-1</v>
      </c>
      <c r="CL16" t="s">
        <v>113</v>
      </c>
      <c r="CM16">
        <v>0</v>
      </c>
    </row>
    <row r="17" spans="1:91" x14ac:dyDescent="0.35">
      <c r="A17" s="21"/>
      <c r="B17" s="17"/>
      <c r="C17" s="9"/>
      <c r="D17" s="9"/>
      <c r="E17" s="9"/>
      <c r="J17" s="15">
        <v>1</v>
      </c>
      <c r="R17" s="15">
        <v>1</v>
      </c>
      <c r="Z17" s="15">
        <v>1</v>
      </c>
      <c r="AH17" s="15">
        <v>1</v>
      </c>
      <c r="AM17" s="9"/>
      <c r="AN17" s="9"/>
      <c r="AO17" s="9"/>
      <c r="AP17" s="16">
        <v>1</v>
      </c>
      <c r="AQ17" s="9"/>
      <c r="AR17" s="10"/>
      <c r="AS17" s="9"/>
      <c r="AT17" s="9"/>
      <c r="AU17" s="9"/>
      <c r="AV17" s="9"/>
      <c r="AW17" s="9"/>
      <c r="AX17" s="16">
        <v>1</v>
      </c>
      <c r="BF17" s="15">
        <v>1</v>
      </c>
      <c r="BN17" s="15">
        <v>1</v>
      </c>
      <c r="CL17" t="s">
        <v>113</v>
      </c>
      <c r="CM17">
        <v>1</v>
      </c>
    </row>
    <row r="18" spans="1:91" x14ac:dyDescent="0.35">
      <c r="A18" s="21"/>
      <c r="B18" s="17"/>
      <c r="C18" s="9"/>
      <c r="D18" s="9"/>
      <c r="E18" s="9"/>
      <c r="K18" s="15">
        <v>1</v>
      </c>
      <c r="R18"/>
      <c r="S18" s="15">
        <v>1</v>
      </c>
      <c r="Z18"/>
      <c r="AA18" s="15">
        <v>1</v>
      </c>
      <c r="AH18"/>
      <c r="AI18" s="15">
        <v>1</v>
      </c>
      <c r="AN18" s="9"/>
      <c r="AO18" s="9"/>
      <c r="AP18" s="9"/>
      <c r="AQ18" s="16">
        <v>1</v>
      </c>
      <c r="AR18" s="9"/>
      <c r="AS18" s="10"/>
      <c r="AT18" s="9"/>
      <c r="AU18" s="9"/>
      <c r="AV18" s="9"/>
      <c r="AW18" s="9"/>
      <c r="AX18" s="9"/>
      <c r="AY18" s="16">
        <v>1</v>
      </c>
      <c r="BF18"/>
      <c r="BG18" s="15">
        <v>1</v>
      </c>
      <c r="BN18"/>
      <c r="BO18" s="15">
        <v>1</v>
      </c>
      <c r="CL18" t="s">
        <v>113</v>
      </c>
      <c r="CM18">
        <v>1</v>
      </c>
    </row>
    <row r="19" spans="1:91" x14ac:dyDescent="0.35">
      <c r="A19" s="21"/>
      <c r="B19" s="17"/>
      <c r="C19" s="9"/>
      <c r="D19" s="9"/>
      <c r="E19" s="9"/>
      <c r="L19" s="15">
        <v>1</v>
      </c>
      <c r="R19"/>
      <c r="T19" s="15">
        <v>1</v>
      </c>
      <c r="Z19"/>
      <c r="AB19" s="15">
        <v>1</v>
      </c>
      <c r="AH19"/>
      <c r="AJ19" s="15">
        <v>1</v>
      </c>
      <c r="AO19" s="9"/>
      <c r="AP19" s="9"/>
      <c r="AQ19" s="9"/>
      <c r="AR19" s="16">
        <v>1</v>
      </c>
      <c r="AS19" s="9"/>
      <c r="AT19" s="10"/>
      <c r="AU19" s="9"/>
      <c r="AV19" s="9"/>
      <c r="AW19" s="9"/>
      <c r="AX19" s="9"/>
      <c r="AY19" s="9"/>
      <c r="AZ19" s="16">
        <v>1</v>
      </c>
      <c r="BF19"/>
      <c r="BH19" s="15">
        <v>1</v>
      </c>
      <c r="BN19"/>
      <c r="BP19" s="15">
        <v>1</v>
      </c>
      <c r="CL19" t="s">
        <v>113</v>
      </c>
      <c r="CM19">
        <v>1</v>
      </c>
    </row>
    <row r="20" spans="1:91" x14ac:dyDescent="0.35">
      <c r="A20" s="21"/>
      <c r="B20" s="17"/>
      <c r="C20" s="9"/>
      <c r="D20" s="9"/>
      <c r="E20" s="9"/>
      <c r="M20" s="15">
        <v>1</v>
      </c>
      <c r="R20"/>
      <c r="U20" s="15">
        <v>1</v>
      </c>
      <c r="Z20"/>
      <c r="AC20" s="15">
        <v>1</v>
      </c>
      <c r="AH20"/>
      <c r="AK20" s="15">
        <v>1</v>
      </c>
      <c r="AP20" s="9"/>
      <c r="AQ20" s="9"/>
      <c r="AR20" s="9"/>
      <c r="AS20" s="16">
        <v>1</v>
      </c>
      <c r="AT20" s="9"/>
      <c r="AU20" s="10"/>
      <c r="AV20" s="9"/>
      <c r="AW20" s="9"/>
      <c r="AX20" s="9"/>
      <c r="AY20" s="9"/>
      <c r="AZ20" s="9"/>
      <c r="BA20" s="16">
        <v>1</v>
      </c>
      <c r="BF20"/>
      <c r="BI20" s="15">
        <v>1</v>
      </c>
      <c r="BN20"/>
      <c r="BQ20" s="15">
        <v>1</v>
      </c>
      <c r="CL20" t="s">
        <v>113</v>
      </c>
      <c r="CM20">
        <v>1</v>
      </c>
    </row>
    <row r="21" spans="1:91" x14ac:dyDescent="0.35">
      <c r="A21" s="21"/>
      <c r="B21" s="17"/>
      <c r="C21" s="9"/>
      <c r="D21" s="9"/>
      <c r="E21" s="9"/>
      <c r="N21" s="15">
        <v>1</v>
      </c>
      <c r="R21"/>
      <c r="V21" s="15">
        <v>1</v>
      </c>
      <c r="Z21"/>
      <c r="AD21" s="15">
        <v>1</v>
      </c>
      <c r="AH21"/>
      <c r="AL21" s="15">
        <v>1</v>
      </c>
      <c r="AP21"/>
      <c r="AQ21" s="9"/>
      <c r="AR21" s="9"/>
      <c r="AS21" s="9"/>
      <c r="AT21" s="16">
        <v>1</v>
      </c>
      <c r="AU21" s="9"/>
      <c r="AV21" s="10"/>
      <c r="AW21" s="9"/>
      <c r="AX21" s="9"/>
      <c r="AY21" s="9"/>
      <c r="AZ21" s="9"/>
      <c r="BA21" s="9"/>
      <c r="BB21" s="16">
        <v>1</v>
      </c>
      <c r="BF21"/>
      <c r="BJ21" s="15">
        <v>1</v>
      </c>
      <c r="BN21"/>
      <c r="BR21" s="15">
        <v>1</v>
      </c>
      <c r="CL21" t="s">
        <v>113</v>
      </c>
      <c r="CM21">
        <v>1</v>
      </c>
    </row>
    <row r="22" spans="1:91" x14ac:dyDescent="0.35">
      <c r="A22" s="21"/>
      <c r="B22" s="17"/>
      <c r="C22" s="9"/>
      <c r="O22" s="15">
        <v>1</v>
      </c>
      <c r="R22"/>
      <c r="W22" s="15">
        <v>1</v>
      </c>
      <c r="Z22"/>
      <c r="AE22" s="15">
        <v>1</v>
      </c>
      <c r="AH22"/>
      <c r="AM22" s="15">
        <v>1</v>
      </c>
      <c r="AP22"/>
      <c r="AR22" s="9"/>
      <c r="AS22" s="9"/>
      <c r="AT22" s="9"/>
      <c r="AU22" s="16">
        <v>1</v>
      </c>
      <c r="AV22" s="9"/>
      <c r="AW22" s="10"/>
      <c r="AX22" s="9"/>
      <c r="AY22" s="9"/>
      <c r="AZ22" s="9"/>
      <c r="BA22" s="9"/>
      <c r="BB22" s="9"/>
      <c r="BC22" s="16">
        <v>1</v>
      </c>
      <c r="BF22"/>
      <c r="BK22" s="15">
        <v>1</v>
      </c>
      <c r="BN22"/>
      <c r="BS22" s="15">
        <v>1</v>
      </c>
      <c r="CL22" t="s">
        <v>113</v>
      </c>
      <c r="CM22">
        <v>1</v>
      </c>
    </row>
    <row r="23" spans="1:91" x14ac:dyDescent="0.35">
      <c r="A23" s="21"/>
      <c r="P23" s="15">
        <v>1</v>
      </c>
      <c r="R23"/>
      <c r="X23" s="15">
        <v>1</v>
      </c>
      <c r="Z23"/>
      <c r="AF23" s="15">
        <v>1</v>
      </c>
      <c r="AH23"/>
      <c r="AN23" s="15">
        <v>1</v>
      </c>
      <c r="AP23"/>
      <c r="AS23" s="9"/>
      <c r="AT23" s="9"/>
      <c r="AU23" s="9"/>
      <c r="AV23" s="16">
        <v>1</v>
      </c>
      <c r="AW23" s="9"/>
      <c r="AX23" s="10"/>
      <c r="AY23" s="9"/>
      <c r="AZ23" s="9"/>
      <c r="BA23" s="9"/>
      <c r="BB23" s="9"/>
      <c r="BC23" s="9"/>
      <c r="BD23" s="16">
        <v>1</v>
      </c>
      <c r="BF23"/>
      <c r="BL23" s="15">
        <v>1</v>
      </c>
      <c r="BN23"/>
      <c r="BT23" s="15">
        <v>1</v>
      </c>
      <c r="CL23" t="s">
        <v>113</v>
      </c>
      <c r="CM23">
        <v>1</v>
      </c>
    </row>
    <row r="24" spans="1:91" x14ac:dyDescent="0.35">
      <c r="A24" s="21"/>
      <c r="Q24" s="15">
        <v>1</v>
      </c>
      <c r="R24"/>
      <c r="Y24" s="15">
        <v>1</v>
      </c>
      <c r="Z24"/>
      <c r="AG24" s="15">
        <v>1</v>
      </c>
      <c r="AH24"/>
      <c r="AO24" s="15">
        <v>1</v>
      </c>
      <c r="AP24"/>
      <c r="AT24" s="9"/>
      <c r="AU24" s="9"/>
      <c r="AV24" s="9"/>
      <c r="AW24" s="16">
        <v>1</v>
      </c>
      <c r="AX24" s="9"/>
      <c r="AY24" s="10"/>
      <c r="AZ24" s="9"/>
      <c r="BA24" s="9"/>
      <c r="BB24" s="9"/>
      <c r="BC24" s="9"/>
      <c r="BD24" s="9"/>
      <c r="BE24" s="16">
        <v>1</v>
      </c>
      <c r="BF24"/>
      <c r="BM24" s="15">
        <v>1</v>
      </c>
      <c r="BN24"/>
      <c r="BU24" s="15">
        <v>1</v>
      </c>
      <c r="CL24" t="s">
        <v>113</v>
      </c>
      <c r="CM24">
        <v>1</v>
      </c>
    </row>
    <row r="25" spans="1:91" x14ac:dyDescent="0.35">
      <c r="A25" s="21"/>
      <c r="B25" s="1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CL25" t="s">
        <v>114</v>
      </c>
      <c r="CM25">
        <v>10</v>
      </c>
    </row>
    <row r="26" spans="1:91" x14ac:dyDescent="0.35">
      <c r="A26" s="21"/>
      <c r="B26" s="15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CL26" t="s">
        <v>115</v>
      </c>
      <c r="CM26">
        <v>12</v>
      </c>
    </row>
    <row r="27" spans="1:91" x14ac:dyDescent="0.35">
      <c r="A27" s="21"/>
      <c r="J27" s="15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3</v>
      </c>
      <c r="Q27">
        <v>3</v>
      </c>
      <c r="CL27" t="s">
        <v>115</v>
      </c>
      <c r="CM27">
        <v>4</v>
      </c>
    </row>
    <row r="28" spans="1:91" x14ac:dyDescent="0.35">
      <c r="R28" s="15">
        <v>2</v>
      </c>
      <c r="S28">
        <v>2</v>
      </c>
      <c r="T28">
        <v>1</v>
      </c>
      <c r="U28">
        <v>1</v>
      </c>
      <c r="V28">
        <v>1</v>
      </c>
      <c r="W28">
        <v>1</v>
      </c>
      <c r="X28">
        <v>3</v>
      </c>
      <c r="Y28">
        <v>3</v>
      </c>
      <c r="CL28" t="s">
        <v>115</v>
      </c>
      <c r="CM28">
        <v>4</v>
      </c>
    </row>
    <row r="29" spans="1:91" x14ac:dyDescent="0.35">
      <c r="Z29" s="15">
        <v>2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3</v>
      </c>
      <c r="AG29">
        <v>3</v>
      </c>
      <c r="CL29" t="s">
        <v>115</v>
      </c>
      <c r="CM29">
        <v>4</v>
      </c>
    </row>
    <row r="30" spans="1:91" x14ac:dyDescent="0.35">
      <c r="AH30" s="15">
        <v>2</v>
      </c>
      <c r="AI30">
        <v>2</v>
      </c>
      <c r="AJ30">
        <v>1</v>
      </c>
      <c r="AK30">
        <v>1</v>
      </c>
      <c r="AL30">
        <v>1</v>
      </c>
      <c r="AM30">
        <v>1</v>
      </c>
      <c r="AN30">
        <v>3</v>
      </c>
      <c r="AO30">
        <v>3</v>
      </c>
      <c r="CL30" t="s">
        <v>115</v>
      </c>
      <c r="CM30">
        <v>4</v>
      </c>
    </row>
    <row r="31" spans="1:91" x14ac:dyDescent="0.35">
      <c r="AP31" s="15">
        <v>2</v>
      </c>
      <c r="AQ31">
        <v>2</v>
      </c>
      <c r="AR31">
        <v>1</v>
      </c>
      <c r="AS31">
        <v>1</v>
      </c>
      <c r="AT31">
        <v>1</v>
      </c>
      <c r="AU31">
        <v>1</v>
      </c>
      <c r="AV31">
        <v>3</v>
      </c>
      <c r="AW31">
        <v>3</v>
      </c>
      <c r="CL31" t="s">
        <v>115</v>
      </c>
      <c r="CM31">
        <v>4</v>
      </c>
    </row>
    <row r="32" spans="1:91" x14ac:dyDescent="0.35">
      <c r="AX32" s="15">
        <v>2</v>
      </c>
      <c r="AY32">
        <v>2</v>
      </c>
      <c r="AZ32">
        <v>1</v>
      </c>
      <c r="BA32">
        <v>1</v>
      </c>
      <c r="BB32">
        <v>1</v>
      </c>
      <c r="BC32">
        <v>1</v>
      </c>
      <c r="BD32">
        <v>3</v>
      </c>
      <c r="BE32">
        <v>3</v>
      </c>
      <c r="CL32" t="s">
        <v>115</v>
      </c>
      <c r="CM32">
        <v>4</v>
      </c>
    </row>
    <row r="33" spans="58:91" x14ac:dyDescent="0.35">
      <c r="BF33" s="15">
        <v>2</v>
      </c>
      <c r="BG33">
        <v>2</v>
      </c>
      <c r="BH33">
        <v>1</v>
      </c>
      <c r="BI33">
        <v>1</v>
      </c>
      <c r="BJ33">
        <v>1</v>
      </c>
      <c r="BK33">
        <v>1</v>
      </c>
      <c r="BL33">
        <v>3</v>
      </c>
      <c r="BM33">
        <v>3</v>
      </c>
      <c r="CL33" t="s">
        <v>115</v>
      </c>
      <c r="CM33">
        <v>4</v>
      </c>
    </row>
    <row r="34" spans="58:91" x14ac:dyDescent="0.35">
      <c r="BN34" s="15">
        <v>2</v>
      </c>
      <c r="BO34">
        <v>2</v>
      </c>
      <c r="BP34">
        <v>1</v>
      </c>
      <c r="BQ34">
        <v>1</v>
      </c>
      <c r="BR34">
        <v>1</v>
      </c>
      <c r="BS34">
        <v>1</v>
      </c>
      <c r="BT34">
        <v>3</v>
      </c>
      <c r="BU34">
        <v>3</v>
      </c>
      <c r="CL34" t="s">
        <v>115</v>
      </c>
      <c r="CM34">
        <v>4</v>
      </c>
    </row>
  </sheetData>
  <mergeCells count="1">
    <mergeCell ref="A8:A2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opLeftCell="E1" zoomScale="72" zoomScaleNormal="85" workbookViewId="0">
      <selection activeCell="N24" sqref="N24"/>
    </sheetView>
  </sheetViews>
  <sheetFormatPr defaultColWidth="11" defaultRowHeight="15.5" x14ac:dyDescent="0.35"/>
  <cols>
    <col min="1" max="1" width="23.15234375" style="6" bestFit="1" customWidth="1"/>
    <col min="2" max="2" width="15.3828125" customWidth="1"/>
    <col min="3" max="3" width="10.15234375" bestFit="1" customWidth="1"/>
    <col min="4" max="4" width="13.4609375" bestFit="1" customWidth="1"/>
    <col min="10" max="11" width="13.4609375" bestFit="1" customWidth="1"/>
    <col min="12" max="12" width="13.4609375" customWidth="1"/>
    <col min="15" max="15" width="11" style="15"/>
  </cols>
  <sheetData>
    <row r="1" spans="1:16" x14ac:dyDescent="0.35">
      <c r="A1" s="5" t="s">
        <v>6</v>
      </c>
      <c r="B1" s="2" t="s">
        <v>10</v>
      </c>
      <c r="C1" s="2"/>
      <c r="D1" s="2"/>
    </row>
    <row r="2" spans="1:16" x14ac:dyDescent="0.35">
      <c r="A2" s="5" t="s">
        <v>9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116</v>
      </c>
      <c r="I2" s="2" t="s">
        <v>17</v>
      </c>
      <c r="J2" s="2" t="s">
        <v>18</v>
      </c>
      <c r="K2" s="2" t="s">
        <v>19</v>
      </c>
      <c r="L2" s="2" t="s">
        <v>117</v>
      </c>
    </row>
    <row r="3" spans="1:16" x14ac:dyDescent="0.35">
      <c r="A3" s="5" t="s">
        <v>0</v>
      </c>
      <c r="B3" s="2">
        <v>1000</v>
      </c>
      <c r="C3" s="2">
        <v>-350</v>
      </c>
      <c r="D3" s="3">
        <v>-53.5</v>
      </c>
      <c r="E3" s="3">
        <v>-4</v>
      </c>
      <c r="F3" s="3">
        <v>-4</v>
      </c>
      <c r="G3" s="3">
        <v>-4</v>
      </c>
      <c r="H3" s="3">
        <v>-4</v>
      </c>
      <c r="I3" s="3">
        <v>-6</v>
      </c>
      <c r="J3" s="3">
        <v>-6</v>
      </c>
      <c r="K3" s="3">
        <v>-6</v>
      </c>
      <c r="L3" s="3">
        <v>-6</v>
      </c>
    </row>
    <row r="4" spans="1:16" x14ac:dyDescent="0.35">
      <c r="A4" s="5" t="s">
        <v>8</v>
      </c>
      <c r="B4" s="2"/>
      <c r="C4" s="2"/>
      <c r="D4" s="2"/>
    </row>
    <row r="5" spans="1:16" x14ac:dyDescent="0.35">
      <c r="A5" s="8" t="s">
        <v>4</v>
      </c>
      <c r="B5" s="2"/>
      <c r="C5" s="2"/>
    </row>
    <row r="6" spans="1:16" x14ac:dyDescent="0.35">
      <c r="A6" s="8" t="s">
        <v>5</v>
      </c>
      <c r="B6" s="2"/>
      <c r="C6" s="2"/>
      <c r="D6" s="2"/>
      <c r="E6" s="3"/>
      <c r="F6" s="3"/>
    </row>
    <row r="7" spans="1:16" x14ac:dyDescent="0.35">
      <c r="E7" s="1"/>
    </row>
    <row r="8" spans="1:16" x14ac:dyDescent="0.35">
      <c r="A8" s="21" t="s">
        <v>7</v>
      </c>
      <c r="B8" s="7" t="s">
        <v>3</v>
      </c>
      <c r="C8" s="2"/>
      <c r="K8" s="4"/>
      <c r="L8" s="4"/>
      <c r="M8" s="7" t="s">
        <v>1</v>
      </c>
      <c r="N8" s="7" t="s">
        <v>2</v>
      </c>
    </row>
    <row r="9" spans="1:16" x14ac:dyDescent="0.35">
      <c r="A9" s="21"/>
      <c r="B9" s="9">
        <v>-1</v>
      </c>
      <c r="C9" s="9">
        <v>1</v>
      </c>
      <c r="D9" s="9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 t="s">
        <v>20</v>
      </c>
      <c r="N9" s="10">
        <v>0</v>
      </c>
      <c r="O9" s="16">
        <v>1</v>
      </c>
    </row>
    <row r="10" spans="1:16" x14ac:dyDescent="0.35">
      <c r="A10" s="21"/>
      <c r="B10" s="9">
        <v>-0.2</v>
      </c>
      <c r="C10" s="9">
        <v>0</v>
      </c>
      <c r="D10" s="9">
        <v>1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9">
        <v>0</v>
      </c>
      <c r="L10" s="9">
        <v>0</v>
      </c>
      <c r="M10" s="9" t="s">
        <v>21</v>
      </c>
      <c r="N10" s="9">
        <v>0</v>
      </c>
      <c r="O10" s="16">
        <v>2</v>
      </c>
    </row>
    <row r="11" spans="1:16" x14ac:dyDescent="0.35">
      <c r="A11" s="21"/>
      <c r="B11" s="11">
        <v>0</v>
      </c>
      <c r="C11" s="9">
        <v>0</v>
      </c>
      <c r="D11" s="9">
        <v>0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10">
        <v>0</v>
      </c>
      <c r="L11" s="10">
        <v>0</v>
      </c>
      <c r="M11" s="9" t="s">
        <v>21</v>
      </c>
      <c r="N11" s="9">
        <v>320</v>
      </c>
      <c r="O11" s="16">
        <v>3</v>
      </c>
      <c r="P11">
        <f>2*20*8</f>
        <v>320</v>
      </c>
    </row>
    <row r="12" spans="1:16" x14ac:dyDescent="0.35">
      <c r="A12" s="21"/>
      <c r="B12" s="11">
        <v>0</v>
      </c>
      <c r="C12" s="9">
        <v>0</v>
      </c>
      <c r="D12" s="9">
        <v>0</v>
      </c>
      <c r="E12" s="9">
        <v>0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 t="s">
        <v>21</v>
      </c>
      <c r="N12" s="9">
        <v>480</v>
      </c>
      <c r="O12" s="16">
        <v>4</v>
      </c>
      <c r="P12">
        <f>3*20*8</f>
        <v>480</v>
      </c>
    </row>
    <row r="13" spans="1:16" x14ac:dyDescent="0.35">
      <c r="A13" s="21"/>
      <c r="B13" s="11">
        <v>0</v>
      </c>
      <c r="C13" s="9">
        <v>0</v>
      </c>
      <c r="D13" s="9">
        <v>0</v>
      </c>
      <c r="E13" s="9">
        <v>0</v>
      </c>
      <c r="F13" s="9">
        <v>0</v>
      </c>
      <c r="G13" s="9">
        <v>1</v>
      </c>
      <c r="H13" s="9">
        <v>0</v>
      </c>
      <c r="I13" s="9">
        <v>0</v>
      </c>
      <c r="J13" s="10">
        <v>0</v>
      </c>
      <c r="K13" s="9">
        <v>0</v>
      </c>
      <c r="L13" s="9">
        <v>0</v>
      </c>
      <c r="M13" s="9" t="s">
        <v>21</v>
      </c>
      <c r="N13" s="9">
        <v>640</v>
      </c>
      <c r="O13" s="16">
        <v>5</v>
      </c>
      <c r="P13">
        <f>4*20*8</f>
        <v>640</v>
      </c>
    </row>
    <row r="14" spans="1:16" x14ac:dyDescent="0.35">
      <c r="A14" s="21"/>
      <c r="B14" s="12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1</v>
      </c>
      <c r="I14" s="9">
        <v>0</v>
      </c>
      <c r="J14" s="10">
        <v>0</v>
      </c>
      <c r="K14" s="9">
        <v>0</v>
      </c>
      <c r="L14" s="9">
        <v>0</v>
      </c>
      <c r="M14" s="9" t="s">
        <v>21</v>
      </c>
      <c r="N14" s="9">
        <v>480</v>
      </c>
      <c r="O14" s="16">
        <v>6</v>
      </c>
    </row>
    <row r="15" spans="1:16" x14ac:dyDescent="0.35">
      <c r="A15" s="21"/>
      <c r="B15" s="12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</v>
      </c>
      <c r="J15" s="10">
        <v>0</v>
      </c>
      <c r="K15" s="10">
        <v>0</v>
      </c>
      <c r="L15" s="10">
        <v>0</v>
      </c>
      <c r="M15" s="9" t="s">
        <v>21</v>
      </c>
      <c r="N15" s="9">
        <v>120</v>
      </c>
      <c r="O15" s="16">
        <v>7</v>
      </c>
      <c r="P15">
        <f>2*20*3</f>
        <v>120</v>
      </c>
    </row>
    <row r="16" spans="1:16" x14ac:dyDescent="0.35">
      <c r="A16" s="21"/>
      <c r="B16" s="12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1</v>
      </c>
      <c r="K16" s="10">
        <v>0</v>
      </c>
      <c r="L16" s="10">
        <v>0</v>
      </c>
      <c r="M16" s="9" t="s">
        <v>21</v>
      </c>
      <c r="N16" s="9">
        <v>180</v>
      </c>
      <c r="O16" s="16">
        <v>8</v>
      </c>
      <c r="P16">
        <f>3*20*3</f>
        <v>180</v>
      </c>
    </row>
    <row r="17" spans="1:16" x14ac:dyDescent="0.35">
      <c r="A17" s="21"/>
      <c r="B17" s="12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9">
        <v>0</v>
      </c>
      <c r="M17" s="9" t="s">
        <v>21</v>
      </c>
      <c r="N17" s="9">
        <v>240</v>
      </c>
      <c r="O17" s="16">
        <v>9</v>
      </c>
      <c r="P17">
        <f>4*20*3</f>
        <v>240</v>
      </c>
    </row>
    <row r="18" spans="1:16" x14ac:dyDescent="0.35">
      <c r="A18" s="21"/>
      <c r="B18" s="12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>
        <v>1</v>
      </c>
      <c r="M18" s="9" t="s">
        <v>21</v>
      </c>
      <c r="N18" s="9">
        <v>180</v>
      </c>
      <c r="O18" s="16">
        <v>10</v>
      </c>
    </row>
    <row r="19" spans="1:16" x14ac:dyDescent="0.35">
      <c r="A19" s="21"/>
      <c r="B19" s="12">
        <v>0</v>
      </c>
      <c r="C19" s="9">
        <v>1</v>
      </c>
      <c r="D19" s="9">
        <v>0</v>
      </c>
      <c r="E19" s="9">
        <v>-40</v>
      </c>
      <c r="F19" s="9">
        <v>0</v>
      </c>
      <c r="G19" s="9">
        <v>0</v>
      </c>
      <c r="H19" s="9">
        <v>0</v>
      </c>
      <c r="I19" s="9">
        <v>-40</v>
      </c>
      <c r="J19" s="9">
        <v>0</v>
      </c>
      <c r="K19" s="10">
        <v>0</v>
      </c>
      <c r="L19" s="10">
        <v>0</v>
      </c>
      <c r="M19" s="9" t="s">
        <v>21</v>
      </c>
      <c r="N19" s="9">
        <v>0</v>
      </c>
      <c r="O19" s="16">
        <v>11</v>
      </c>
      <c r="P19">
        <f>-3600/90</f>
        <v>-40</v>
      </c>
    </row>
    <row r="20" spans="1:16" x14ac:dyDescent="0.35">
      <c r="A20" s="21"/>
      <c r="B20" s="12">
        <v>0</v>
      </c>
      <c r="C20" s="9">
        <v>1</v>
      </c>
      <c r="D20" s="9">
        <v>0</v>
      </c>
      <c r="E20" s="9">
        <v>0</v>
      </c>
      <c r="F20">
        <v>-23.841059602649008</v>
      </c>
      <c r="G20" s="9">
        <v>0</v>
      </c>
      <c r="H20" s="9">
        <v>0</v>
      </c>
      <c r="I20" s="9">
        <v>0</v>
      </c>
      <c r="J20">
        <v>-23.841059602649008</v>
      </c>
      <c r="K20" s="10">
        <v>0</v>
      </c>
      <c r="L20" s="10">
        <v>0</v>
      </c>
      <c r="M20" s="9" t="s">
        <v>21</v>
      </c>
      <c r="N20" s="9">
        <v>0</v>
      </c>
      <c r="O20" s="16">
        <v>12</v>
      </c>
      <c r="P20">
        <f>-3600/151</f>
        <v>-23.841059602649008</v>
      </c>
    </row>
    <row r="21" spans="1:16" x14ac:dyDescent="0.35">
      <c r="A21" s="21"/>
      <c r="B21" s="12">
        <v>0</v>
      </c>
      <c r="C21" s="9">
        <v>1</v>
      </c>
      <c r="D21" s="9">
        <v>0</v>
      </c>
      <c r="E21" s="9">
        <v>0</v>
      </c>
      <c r="F21" s="9">
        <v>0</v>
      </c>
      <c r="G21" s="9">
        <v>-17.560975609756099</v>
      </c>
      <c r="H21" s="9">
        <v>0</v>
      </c>
      <c r="I21" s="9">
        <v>0</v>
      </c>
      <c r="J21" s="9">
        <v>0</v>
      </c>
      <c r="K21" s="9">
        <v>-17.560975609756099</v>
      </c>
      <c r="L21" s="9">
        <v>0</v>
      </c>
      <c r="M21" s="9" t="s">
        <v>21</v>
      </c>
      <c r="N21" s="9">
        <v>0</v>
      </c>
      <c r="O21" s="16">
        <v>13</v>
      </c>
      <c r="P21">
        <f>-3600/205</f>
        <v>-17.560975609756099</v>
      </c>
    </row>
    <row r="22" spans="1:16" x14ac:dyDescent="0.35">
      <c r="A22" s="21"/>
      <c r="B22" s="12">
        <v>0</v>
      </c>
      <c r="C22" s="9">
        <v>1</v>
      </c>
      <c r="D22" s="9">
        <v>0</v>
      </c>
      <c r="E22" s="9">
        <v>0</v>
      </c>
      <c r="F22" s="9">
        <v>0</v>
      </c>
      <c r="H22">
        <v>-22.5</v>
      </c>
      <c r="I22" s="9">
        <v>0</v>
      </c>
      <c r="J22" s="9">
        <v>0</v>
      </c>
      <c r="K22" s="9">
        <v>0</v>
      </c>
      <c r="L22">
        <v>-22.5</v>
      </c>
      <c r="M22" s="9" t="s">
        <v>21</v>
      </c>
      <c r="N22" s="9">
        <v>0</v>
      </c>
      <c r="O22" s="16">
        <v>14</v>
      </c>
      <c r="P22">
        <f>-3600/160</f>
        <v>-22.5</v>
      </c>
    </row>
    <row r="23" spans="1:16" x14ac:dyDescent="0.35">
      <c r="A23" s="21"/>
      <c r="B23" s="12">
        <v>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 t="s">
        <v>21</v>
      </c>
      <c r="N23" s="9">
        <v>20000</v>
      </c>
      <c r="O23" s="16">
        <v>15</v>
      </c>
    </row>
    <row r="24" spans="1:16" x14ac:dyDescent="0.35">
      <c r="A24" s="21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6"/>
    </row>
    <row r="25" spans="1:16" x14ac:dyDescent="0.35">
      <c r="A25" s="21"/>
    </row>
    <row r="26" spans="1:16" x14ac:dyDescent="0.35">
      <c r="A26" s="21"/>
    </row>
    <row r="27" spans="1:16" x14ac:dyDescent="0.35">
      <c r="A27" s="21"/>
    </row>
  </sheetData>
  <mergeCells count="1">
    <mergeCell ref="A8:A2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E915-7A02-44BE-AB66-B7069371FCFF}">
  <dimension ref="B1:D13"/>
  <sheetViews>
    <sheetView tabSelected="1" workbookViewId="0">
      <selection activeCell="C12" sqref="C12"/>
    </sheetView>
  </sheetViews>
  <sheetFormatPr defaultRowHeight="15.5" x14ac:dyDescent="0.35"/>
  <cols>
    <col min="3" max="3" width="9.765625" customWidth="1"/>
  </cols>
  <sheetData>
    <row r="1" spans="2:4" x14ac:dyDescent="0.35">
      <c r="B1" t="s">
        <v>118</v>
      </c>
      <c r="C1" t="s">
        <v>119</v>
      </c>
      <c r="D1" t="s">
        <v>120</v>
      </c>
    </row>
    <row r="2" spans="2:4" x14ac:dyDescent="0.35">
      <c r="B2" s="19">
        <v>0</v>
      </c>
      <c r="C2" s="20">
        <v>0</v>
      </c>
      <c r="D2" s="19">
        <v>0</v>
      </c>
    </row>
    <row r="3" spans="2:4" x14ac:dyDescent="0.35">
      <c r="B3" s="19">
        <v>2000</v>
      </c>
      <c r="C3" s="20">
        <v>1417522.6669999999</v>
      </c>
      <c r="D3" s="19">
        <v>1600</v>
      </c>
    </row>
    <row r="4" spans="2:4" x14ac:dyDescent="0.35">
      <c r="B4" s="19">
        <v>4000</v>
      </c>
      <c r="C4" s="20">
        <v>2835045.3330000001</v>
      </c>
      <c r="D4" s="19">
        <v>3200</v>
      </c>
    </row>
    <row r="5" spans="2:4" x14ac:dyDescent="0.35">
      <c r="B5" s="19">
        <v>6000</v>
      </c>
      <c r="C5" s="20">
        <v>4252568</v>
      </c>
      <c r="D5" s="19">
        <v>4800</v>
      </c>
    </row>
    <row r="6" spans="2:4" x14ac:dyDescent="0.35">
      <c r="B6" s="19">
        <v>8000</v>
      </c>
      <c r="C6" s="20">
        <v>5670090.6670000004</v>
      </c>
      <c r="D6" s="19">
        <v>6400</v>
      </c>
    </row>
    <row r="7" spans="2:4" x14ac:dyDescent="0.35">
      <c r="B7" s="19">
        <v>10000</v>
      </c>
      <c r="C7" s="20">
        <v>7087613.3329999996</v>
      </c>
      <c r="D7" s="19">
        <v>8000</v>
      </c>
    </row>
    <row r="8" spans="2:4" x14ac:dyDescent="0.35">
      <c r="B8" s="19">
        <v>12000</v>
      </c>
      <c r="C8" s="20">
        <v>8505136</v>
      </c>
      <c r="D8" s="19">
        <v>9600</v>
      </c>
    </row>
    <row r="9" spans="2:4" x14ac:dyDescent="0.35">
      <c r="B9" s="19">
        <v>14000</v>
      </c>
      <c r="C9" s="20">
        <v>9922623.1109999996</v>
      </c>
      <c r="D9" s="19">
        <v>11200</v>
      </c>
    </row>
    <row r="10" spans="2:4" x14ac:dyDescent="0.35">
      <c r="B10" s="19">
        <v>16000</v>
      </c>
      <c r="C10" s="20">
        <v>11339712</v>
      </c>
      <c r="D10" s="19">
        <v>12800</v>
      </c>
    </row>
    <row r="11" spans="2:4" x14ac:dyDescent="0.35">
      <c r="B11" s="19">
        <v>18000</v>
      </c>
      <c r="C11" s="20">
        <v>12756696</v>
      </c>
      <c r="D11">
        <v>14400</v>
      </c>
    </row>
    <row r="12" spans="2:4" x14ac:dyDescent="0.35">
      <c r="B12">
        <v>18562.5</v>
      </c>
      <c r="C12" s="18">
        <v>13155222.75</v>
      </c>
      <c r="D12" s="19">
        <v>14850</v>
      </c>
    </row>
    <row r="13" spans="2:4" x14ac:dyDescent="0.35">
      <c r="B13" s="19">
        <v>20000</v>
      </c>
      <c r="C13" s="18">
        <v>13155222.75</v>
      </c>
      <c r="D13" s="19">
        <v>14850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650F7285908479A567C1AF85DA231" ma:contentTypeVersion="0" ma:contentTypeDescription="Create a new document." ma:contentTypeScope="" ma:versionID="f79219e472dc986a9d7f9b3754d3e6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2a494acc90a137ffcc3183000be695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D57ECB-13FC-4CCF-8851-D1BBD95B8F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94CCD2-689D-4E56-AC09-7A31E10E6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5A5D63-7D03-4519-A3C4-6D8E7875908C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PartA</vt:lpstr>
      <vt:lpstr>Part B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Lucia De Lee</cp:lastModifiedBy>
  <dcterms:created xsi:type="dcterms:W3CDTF">2019-09-21T23:42:34Z</dcterms:created>
  <dcterms:modified xsi:type="dcterms:W3CDTF">2022-10-15T06:46:19Z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0x0101008C3650F7285908479A567C1AF85DA231</vt:lpwstr>
  </property>
</Properties>
</file>